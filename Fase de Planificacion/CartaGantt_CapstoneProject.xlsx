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D7D76EE3-BFAA-4BB5-875D-FA418722BDF5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Gantt formato" sheetId="1" r:id="rId1"/>
    <sheet name="fórmulas aplicada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I3" i="1" l="1"/>
  <c r="I5" i="1"/>
  <c r="J5" i="1" l="1"/>
  <c r="K5" i="1" l="1"/>
  <c r="M5" i="1" l="1"/>
  <c r="N5" i="1" l="1"/>
  <c r="P3" i="1" l="1"/>
  <c r="O5" i="1"/>
  <c r="P5" i="1" l="1"/>
  <c r="Q5" i="1" l="1"/>
  <c r="R5" i="1" l="1"/>
  <c r="T5" i="1" l="1"/>
  <c r="U5" i="1" l="1"/>
  <c r="W3" i="1" l="1"/>
  <c r="V5" i="1"/>
  <c r="W5" i="1" l="1"/>
  <c r="X5" i="1" l="1"/>
  <c r="Y5" i="1" l="1"/>
  <c r="AA5" i="1" l="1"/>
  <c r="AB5" i="1" l="1"/>
  <c r="AC5" i="1" l="1"/>
  <c r="AD5" i="1" l="1"/>
  <c r="AD3" i="1"/>
  <c r="AE5" i="1" l="1"/>
  <c r="AF5" i="1" l="1"/>
  <c r="AH5" i="1" l="1"/>
  <c r="AJ5" i="1" l="1"/>
  <c r="AI5" i="1"/>
</calcChain>
</file>

<file path=xl/sharedStrings.xml><?xml version="1.0" encoding="utf-8"?>
<sst xmlns="http://schemas.openxmlformats.org/spreadsheetml/2006/main" count="35" uniqueCount="32">
  <si>
    <t>Fecha de Inicio del Proyecto</t>
  </si>
  <si>
    <t>ACTIVIDAD</t>
  </si>
  <si>
    <t>Descripción</t>
  </si>
  <si>
    <t>Responsable</t>
  </si>
  <si>
    <t>Cumplimiento</t>
  </si>
  <si>
    <t>Fecha Inicio</t>
  </si>
  <si>
    <t>Días</t>
  </si>
  <si>
    <t>Fecha Fin</t>
  </si>
  <si>
    <t>1.1</t>
  </si>
  <si>
    <t>1.2</t>
  </si>
  <si>
    <t>1.3</t>
  </si>
  <si>
    <t>1.4</t>
  </si>
  <si>
    <t>1.5</t>
  </si>
  <si>
    <t xml:space="preserve"> =Y(J$4&gt;=$F6;J$4&lt;=$H6)</t>
  </si>
  <si>
    <t xml:space="preserve"> =Y(J$4&gt;=$F6;J$4&lt;=((($H6-$F6+1)*$E6)+$F6-1))</t>
  </si>
  <si>
    <t xml:space="preserve">formula para sobreado </t>
  </si>
  <si>
    <t xml:space="preserve"> =((($H6-$F6+1)*$E6)+$F6)</t>
  </si>
  <si>
    <t>Estudiar guías del Proyecto Final</t>
  </si>
  <si>
    <t>Definir roles del equipo</t>
  </si>
  <si>
    <t>Establecer Plan de Acción</t>
  </si>
  <si>
    <t>Preparar presentación del Plan de Acción</t>
  </si>
  <si>
    <t>Presentar Plan de Accion</t>
  </si>
  <si>
    <t>Ajustar Plan de Acción</t>
  </si>
  <si>
    <t>Obtener y preparar los datos</t>
  </si>
  <si>
    <t>Explorar y analizar los datos</t>
  </si>
  <si>
    <t>Diseñar modelo predictivo</t>
  </si>
  <si>
    <t>Establecer Conclusiones</t>
  </si>
  <si>
    <t>Presentar resultados</t>
  </si>
  <si>
    <t>FASE 1: PLANIFICACIÓN</t>
  </si>
  <si>
    <t>FASE 2: EJECUCIÓN</t>
  </si>
  <si>
    <t>FASE 3: RESULTADOS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</si>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</sst>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,dd/mm/yyyy"/>
    <numFmt numFmtId="165" formatCode="dd"/>
    <numFmt numFmtId="166" formatCode="ddd\,\ dd/mm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amsungOne 400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9" tint="-0.249977111117893"/>
      </bottom>
      <diagonal/>
    </border>
    <border>
      <left style="thick">
        <color theme="9" tint="-0.249977111117893"/>
      </left>
      <right/>
      <top style="thick">
        <color theme="9" tint="-0.249977111117893"/>
      </top>
      <bottom style="thick">
        <color theme="9" tint="-0.249977111117893"/>
      </bottom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ck">
        <color theme="9" tint="-0.249977111117893"/>
      </left>
      <right style="thin">
        <color auto="1"/>
      </right>
      <top/>
      <bottom/>
      <diagonal/>
    </border>
    <border>
      <left/>
      <right style="medium">
        <color indexed="64"/>
      </right>
      <top style="thick">
        <color theme="9" tint="-0.249977111117893"/>
      </top>
      <bottom style="thick">
        <color theme="9" tint="-0.24997711111789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0" xfId="0" applyNumberFormat="1" applyFill="1" applyAlignment="1">
      <alignment textRotation="90" wrapText="1"/>
    </xf>
    <xf numFmtId="0" fontId="3" fillId="5" borderId="0" xfId="0" applyFont="1" applyFill="1" applyAlignment="1">
      <alignment horizontal="center" vertical="center" textRotation="255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right"/>
    </xf>
    <xf numFmtId="166" fontId="0" fillId="3" borderId="1" xfId="0" applyNumberForma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2"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2" fmlaLink="$F$3" horiz="1" max="120" page="10" val="3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240506</xdr:colOff>
      <xdr:row>35</xdr:row>
      <xdr:rowOff>145255</xdr:rowOff>
    </xdr:from>
    <xdr:to>
      <xdr:col>21</xdr:col>
      <xdr:colOff>269081</xdr:colOff>
      <xdr:row>68</xdr:row>
      <xdr:rowOff>126205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492912" y="8289130"/>
          <a:ext cx="4886325" cy="626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Actualizar listado de SKU codificables y No codificables / Resp Matías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Actualizar listado de SKU por grupos de medicamentos e Insumos 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Desarrollar buscador en excel de SKU según listado 1 y 2 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Programar pruebas de Devoluciones y Cargos a Pacientes utilizando pistola de código de barras. / Incluir Informática en pruebas 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Propuesta planificación de pruebas: 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4.1- Maternidad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4.2- Neo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4.3- UPC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4.4- MQ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4.5- Programar las demás áreas 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  Requerimiento de uso de codificación en Centros Médicos </a:t>
          </a: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6- El uso del código de Barra se utilizará en la implementación del Proyecto RCE</a:t>
          </a:r>
        </a:p>
        <a:p>
          <a:pPr fontAlgn="base"/>
          <a:b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Incluir todas las tareas requeridas y desarrollar Gantt para definir tiempos de implementación y compartir con los responsables </a:t>
          </a:r>
        </a:p>
        <a:p>
          <a:pPr fontAlgn="base"/>
          <a:b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duda me comentas</a:t>
          </a:r>
        </a:p>
        <a:p>
          <a:pPr fontAlgn="base"/>
          <a:b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Slds</a:t>
          </a:r>
        </a:p>
        <a:p>
          <a:pPr fontAlgn="base"/>
          <a:b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Jorge Tironi </a:t>
          </a:r>
        </a:p>
        <a:p>
          <a:br>
            <a:rPr lang="es-MX"/>
          </a:br>
          <a:endParaRPr lang="es-MX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4408098</xdr:colOff>
          <xdr:row>1</xdr:row>
          <xdr:rowOff>388189</xdr:rowOff>
        </xdr:from>
        <xdr:to>
          <xdr:col>7</xdr:col>
          <xdr:colOff>905774</xdr:colOff>
          <xdr:row>3</xdr:row>
          <xdr:rowOff>25879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autoPageBreaks="0"/>
  </sheetPr>
  <dimension ref="B1:AJ19"/>
  <sheetViews>
    <sheetView tabSelected="1" zoomScaleNormal="100" workbookViewId="0">
      <selection activeCell="Q13" sqref="Q13"/>
    </sheetView>
  </sheetViews>
  <sheetFormatPr baseColWidth="10" defaultColWidth="9.125" defaultRowHeight="14.3"/>
  <cols>
    <col min="1" max="1" width="2.5" customWidth="1"/>
    <col min="2" max="2" width="20.625" bestFit="1" customWidth="1"/>
    <col min="3" max="3" width="64.125" customWidth="1"/>
    <col min="4" max="4" width="11.5" hidden="1" customWidth="1"/>
    <col min="5" max="5" width="12.875" hidden="1" customWidth="1"/>
    <col min="6" max="6" width="12.5" customWidth="1"/>
    <col min="7" max="7" width="6.375" hidden="1" customWidth="1"/>
    <col min="8" max="8" width="13.625" customWidth="1"/>
    <col min="9" max="36" width="3.625" customWidth="1"/>
  </cols>
  <sheetData>
    <row r="1" spans="2:36" ht="31.6" customHeight="1"/>
    <row r="2" spans="2:36" ht="31.6" customHeight="1" thickBot="1">
      <c r="D2" s="8"/>
      <c r="E2" s="8"/>
    </row>
    <row r="3" spans="2:36" ht="31.6" customHeight="1" thickTop="1" thickBot="1">
      <c r="D3" s="9"/>
      <c r="E3" s="10"/>
      <c r="F3" s="12">
        <v>3</v>
      </c>
      <c r="H3" s="11">
        <f>G4+F3</f>
        <v>45564</v>
      </c>
      <c r="I3" s="18">
        <f>I4</f>
        <v>45564</v>
      </c>
      <c r="J3" s="19"/>
      <c r="K3" s="19"/>
      <c r="L3" s="19"/>
      <c r="M3" s="19"/>
      <c r="N3" s="19"/>
      <c r="O3" s="20"/>
      <c r="P3" s="18">
        <f>P4</f>
        <v>45571</v>
      </c>
      <c r="Q3" s="19"/>
      <c r="R3" s="19"/>
      <c r="S3" s="19"/>
      <c r="T3" s="19"/>
      <c r="U3" s="19"/>
      <c r="V3" s="20"/>
      <c r="W3" s="18">
        <f>W4</f>
        <v>45578</v>
      </c>
      <c r="X3" s="19"/>
      <c r="Y3" s="19"/>
      <c r="Z3" s="19"/>
      <c r="AA3" s="19"/>
      <c r="AB3" s="19"/>
      <c r="AC3" s="20"/>
      <c r="AD3" s="18">
        <f>AD4</f>
        <v>45585</v>
      </c>
      <c r="AE3" s="19"/>
      <c r="AF3" s="19"/>
      <c r="AG3" s="19"/>
      <c r="AH3" s="19"/>
      <c r="AI3" s="19"/>
      <c r="AJ3" s="20"/>
    </row>
    <row r="4" spans="2:36" ht="31.6" customHeight="1" thickTop="1">
      <c r="B4" s="21" t="s">
        <v>0</v>
      </c>
      <c r="C4" s="21"/>
      <c r="D4" s="21"/>
      <c r="E4" s="21"/>
      <c r="F4" s="21"/>
      <c r="G4" s="22">
        <v>45561</v>
      </c>
      <c r="H4" s="22"/>
      <c r="I4" s="6">
        <f>H3</f>
        <v>45564</v>
      </c>
      <c r="J4" s="6">
        <f t="shared" ref="J4:AJ4" si="0">I4+1</f>
        <v>45565</v>
      </c>
      <c r="K4" s="6">
        <f t="shared" si="0"/>
        <v>45566</v>
      </c>
      <c r="L4" s="6">
        <f t="shared" si="0"/>
        <v>45567</v>
      </c>
      <c r="M4" s="6">
        <f t="shared" si="0"/>
        <v>45568</v>
      </c>
      <c r="N4" s="6">
        <f t="shared" si="0"/>
        <v>45569</v>
      </c>
      <c r="O4" s="6">
        <f t="shared" si="0"/>
        <v>45570</v>
      </c>
      <c r="P4" s="6">
        <f t="shared" si="0"/>
        <v>45571</v>
      </c>
      <c r="Q4" s="6">
        <f t="shared" si="0"/>
        <v>45572</v>
      </c>
      <c r="R4" s="6">
        <f t="shared" si="0"/>
        <v>45573</v>
      </c>
      <c r="S4" s="6">
        <f t="shared" si="0"/>
        <v>45574</v>
      </c>
      <c r="T4" s="6">
        <f t="shared" si="0"/>
        <v>45575</v>
      </c>
      <c r="U4" s="6">
        <f t="shared" si="0"/>
        <v>45576</v>
      </c>
      <c r="V4" s="6">
        <f t="shared" si="0"/>
        <v>45577</v>
      </c>
      <c r="W4" s="6">
        <f t="shared" si="0"/>
        <v>45578</v>
      </c>
      <c r="X4" s="6">
        <f t="shared" si="0"/>
        <v>45579</v>
      </c>
      <c r="Y4" s="6">
        <f t="shared" si="0"/>
        <v>45580</v>
      </c>
      <c r="Z4" s="6">
        <f t="shared" si="0"/>
        <v>45581</v>
      </c>
      <c r="AA4" s="6">
        <f t="shared" si="0"/>
        <v>45582</v>
      </c>
      <c r="AB4" s="6">
        <f t="shared" si="0"/>
        <v>45583</v>
      </c>
      <c r="AC4" s="6">
        <f t="shared" si="0"/>
        <v>45584</v>
      </c>
      <c r="AD4" s="6">
        <f t="shared" si="0"/>
        <v>45585</v>
      </c>
      <c r="AE4" s="6">
        <f t="shared" si="0"/>
        <v>45586</v>
      </c>
      <c r="AF4" s="6">
        <f t="shared" si="0"/>
        <v>45587</v>
      </c>
      <c r="AG4" s="6">
        <f t="shared" si="0"/>
        <v>45588</v>
      </c>
      <c r="AH4" s="6">
        <f t="shared" si="0"/>
        <v>45589</v>
      </c>
      <c r="AI4" s="6">
        <f t="shared" si="0"/>
        <v>45590</v>
      </c>
      <c r="AJ4" s="6">
        <f t="shared" si="0"/>
        <v>45591</v>
      </c>
    </row>
    <row r="5" spans="2:36" ht="31.6" customHeight="1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2" t="s">
        <v>6</v>
      </c>
      <c r="H5" s="1" t="s">
        <v>7</v>
      </c>
      <c r="I5" s="7" t="str">
        <f t="shared" ref="I5:AJ5" si="1">UPPER(LEFT(TEXT(I4,"ddd"),1))</f>
        <v>D</v>
      </c>
      <c r="J5" s="7" t="str">
        <f t="shared" si="1"/>
        <v>L</v>
      </c>
      <c r="K5" s="7" t="str">
        <f t="shared" si="1"/>
        <v>M</v>
      </c>
      <c r="L5" s="7" t="s">
        <v>31</v>
      </c>
      <c r="M5" s="7" t="str">
        <f t="shared" si="1"/>
        <v>J</v>
      </c>
      <c r="N5" s="7" t="str">
        <f t="shared" si="1"/>
        <v>V</v>
      </c>
      <c r="O5" s="7" t="str">
        <f t="shared" si="1"/>
        <v>S</v>
      </c>
      <c r="P5" s="7" t="str">
        <f t="shared" si="1"/>
        <v>D</v>
      </c>
      <c r="Q5" s="7" t="str">
        <f t="shared" si="1"/>
        <v>L</v>
      </c>
      <c r="R5" s="7" t="str">
        <f t="shared" si="1"/>
        <v>M</v>
      </c>
      <c r="S5" s="7" t="s">
        <v>31</v>
      </c>
      <c r="T5" s="7" t="str">
        <f t="shared" si="1"/>
        <v>J</v>
      </c>
      <c r="U5" s="7" t="str">
        <f t="shared" si="1"/>
        <v>V</v>
      </c>
      <c r="V5" s="7" t="str">
        <f t="shared" si="1"/>
        <v>S</v>
      </c>
      <c r="W5" s="7" t="str">
        <f t="shared" si="1"/>
        <v>D</v>
      </c>
      <c r="X5" s="7" t="str">
        <f t="shared" si="1"/>
        <v>L</v>
      </c>
      <c r="Y5" s="7" t="str">
        <f t="shared" si="1"/>
        <v>M</v>
      </c>
      <c r="Z5" s="7" t="s">
        <v>31</v>
      </c>
      <c r="AA5" s="7" t="str">
        <f t="shared" si="1"/>
        <v>J</v>
      </c>
      <c r="AB5" s="7" t="str">
        <f t="shared" si="1"/>
        <v>V</v>
      </c>
      <c r="AC5" s="7" t="str">
        <f t="shared" si="1"/>
        <v>S</v>
      </c>
      <c r="AD5" s="7" t="str">
        <f t="shared" si="1"/>
        <v>D</v>
      </c>
      <c r="AE5" s="7" t="str">
        <f t="shared" si="1"/>
        <v>L</v>
      </c>
      <c r="AF5" s="7" t="str">
        <f t="shared" si="1"/>
        <v>M</v>
      </c>
      <c r="AG5" s="7" t="s">
        <v>31</v>
      </c>
      <c r="AH5" s="7" t="str">
        <f t="shared" si="1"/>
        <v>J</v>
      </c>
      <c r="AI5" s="7" t="str">
        <f t="shared" si="1"/>
        <v>V</v>
      </c>
      <c r="AJ5" s="7" t="str">
        <f t="shared" si="1"/>
        <v>S</v>
      </c>
    </row>
    <row r="6" spans="2:36">
      <c r="B6" s="15" t="s">
        <v>28</v>
      </c>
      <c r="C6" s="3"/>
      <c r="D6" s="3"/>
      <c r="E6" s="3"/>
      <c r="F6" s="3"/>
      <c r="G6" s="4"/>
      <c r="H6" s="4"/>
    </row>
    <row r="7" spans="2:36">
      <c r="B7" s="17" t="s">
        <v>8</v>
      </c>
      <c r="C7" s="14" t="s">
        <v>17</v>
      </c>
      <c r="E7" s="5"/>
      <c r="F7" s="13">
        <v>45561</v>
      </c>
      <c r="G7">
        <v>2</v>
      </c>
      <c r="H7" s="13">
        <v>45566</v>
      </c>
    </row>
    <row r="8" spans="2:36">
      <c r="B8" s="17" t="s">
        <v>9</v>
      </c>
      <c r="C8" s="14" t="s">
        <v>18</v>
      </c>
      <c r="E8" s="5"/>
      <c r="F8" s="13">
        <v>45566</v>
      </c>
      <c r="G8">
        <v>2</v>
      </c>
      <c r="H8" s="13">
        <v>45566</v>
      </c>
    </row>
    <row r="9" spans="2:36">
      <c r="B9" s="17" t="s">
        <v>10</v>
      </c>
      <c r="C9" s="14" t="s">
        <v>19</v>
      </c>
      <c r="E9" s="5"/>
      <c r="F9" s="13">
        <v>45566</v>
      </c>
      <c r="G9">
        <v>5</v>
      </c>
      <c r="H9" s="13">
        <v>45568</v>
      </c>
    </row>
    <row r="10" spans="2:36">
      <c r="B10" s="17" t="s">
        <v>11</v>
      </c>
      <c r="C10" s="14" t="s">
        <v>20</v>
      </c>
      <c r="E10" s="5"/>
      <c r="F10" s="13">
        <v>45568</v>
      </c>
      <c r="G10">
        <v>3</v>
      </c>
      <c r="H10" s="13">
        <v>45573</v>
      </c>
    </row>
    <row r="11" spans="2:36">
      <c r="B11" s="17" t="s">
        <v>12</v>
      </c>
      <c r="C11" s="14" t="s">
        <v>21</v>
      </c>
      <c r="E11" s="4"/>
      <c r="F11" s="13">
        <v>45573</v>
      </c>
      <c r="H11" s="13">
        <v>45575</v>
      </c>
    </row>
    <row r="12" spans="2:36">
      <c r="B12" s="17">
        <v>1.6</v>
      </c>
      <c r="C12" s="14" t="s">
        <v>22</v>
      </c>
      <c r="D12" s="3"/>
      <c r="E12" s="3"/>
      <c r="F12" s="13">
        <v>45575</v>
      </c>
      <c r="G12" s="4"/>
      <c r="H12" s="13">
        <v>45580</v>
      </c>
    </row>
    <row r="13" spans="2:36">
      <c r="B13" s="15" t="s">
        <v>29</v>
      </c>
    </row>
    <row r="14" spans="2:36">
      <c r="B14" s="17">
        <v>2.1</v>
      </c>
      <c r="C14" s="14" t="s">
        <v>23</v>
      </c>
      <c r="F14" s="13">
        <v>45580</v>
      </c>
      <c r="H14" s="13">
        <v>45582</v>
      </c>
    </row>
    <row r="15" spans="2:36">
      <c r="B15" s="17">
        <v>2.2000000000000002</v>
      </c>
      <c r="C15" s="14" t="s">
        <v>24</v>
      </c>
      <c r="F15" s="13">
        <v>45582</v>
      </c>
      <c r="H15" s="13">
        <v>45587</v>
      </c>
    </row>
    <row r="16" spans="2:36">
      <c r="B16" s="17">
        <v>2.2999999999999998</v>
      </c>
      <c r="C16" s="14" t="s">
        <v>25</v>
      </c>
      <c r="F16" s="13">
        <v>45587</v>
      </c>
      <c r="H16" s="13">
        <v>45589</v>
      </c>
    </row>
    <row r="17" spans="2:8">
      <c r="B17" s="17">
        <v>2.4</v>
      </c>
      <c r="C17" s="14" t="s">
        <v>26</v>
      </c>
      <c r="F17" s="13">
        <v>45589</v>
      </c>
      <c r="H17" s="13">
        <v>45594</v>
      </c>
    </row>
    <row r="18" spans="2:8">
      <c r="B18" s="16" t="s">
        <v>30</v>
      </c>
    </row>
    <row r="19" spans="2:8">
      <c r="B19" s="17">
        <v>3.1</v>
      </c>
      <c r="C19" s="14" t="s">
        <v>27</v>
      </c>
      <c r="F19" s="13">
        <v>45601</v>
      </c>
      <c r="H19" s="13">
        <v>45601</v>
      </c>
    </row>
  </sheetData>
  <mergeCells count="6">
    <mergeCell ref="I3:O3"/>
    <mergeCell ref="P3:V3"/>
    <mergeCell ref="W3:AC3"/>
    <mergeCell ref="AD3:AJ3"/>
    <mergeCell ref="B4:F4"/>
    <mergeCell ref="G4:H4"/>
  </mergeCells>
  <phoneticPr fontId="4" type="noConversion"/>
  <conditionalFormatting sqref="E6:E11">
    <cfRule type="dataBar" priority="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{CCD3C2A1-1D22-4F1D-B622-6209B57A77ED}</x14:id>
        </ext>
      </extLst>
    </cfRule>
  </conditionalFormatting>
  <conditionalFormatting sqref="I6:AC11">
    <cfRule type="expression" dxfId="1" priority="1">
      <formula>AND(I$4&gt;=$F6,I$4&lt;=((($H6-$F6+1)*$E6)+$F6-1))</formula>
    </cfRule>
  </conditionalFormatting>
  <conditionalFormatting sqref="I6:AJ19">
    <cfRule type="expression" dxfId="0" priority="2">
      <formula>AND(I$4&gt;=$F6,I$4&lt;=$H6)</formula>
    </cfRule>
  </conditionalFormatting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2</xdr:col>
                    <xdr:colOff>4408098</xdr:colOff>
                    <xdr:row>1</xdr:row>
                    <xdr:rowOff>388189</xdr:rowOff>
                  </from>
                  <to>
                    <xdr:col>7</xdr:col>
                    <xdr:colOff>905774</xdr:colOff>
                    <xdr:row>3</xdr:row>
                    <xdr:rowOff>25879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D3C2A1-1D22-4F1D-B622-6209B57A77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E6:E11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F612-6AAC-46B6-82AE-2EB29431009E}">
  <dimension ref="A1:B3"/>
  <sheetViews>
    <sheetView workbookViewId="0">
      <selection activeCell="B3" sqref="B3"/>
    </sheetView>
  </sheetViews>
  <sheetFormatPr baseColWidth="10" defaultColWidth="11.5" defaultRowHeight="14.3"/>
  <cols>
    <col min="1" max="1" width="41.5" bestFit="1" customWidth="1"/>
  </cols>
  <sheetData>
    <row r="1" spans="1:2">
      <c r="A1" t="s">
        <v>13</v>
      </c>
    </row>
    <row r="2" spans="1:2">
      <c r="A2" t="s">
        <v>14</v>
      </c>
      <c r="B2" t="s">
        <v>15</v>
      </c>
    </row>
    <row r="3" spans="1:2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formato</vt:lpstr>
      <vt:lpstr>fórmulas aplicadas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Osvaldo Lebuy</dc:creator>
  <cp:keywords/>
  <dc:description/>
  <cp:lastModifiedBy>SEBASTI�N IGNACIO GALINDO APROSIO</cp:lastModifiedBy>
  <cp:revision/>
  <dcterms:created xsi:type="dcterms:W3CDTF">2015-06-05T18:19:34Z</dcterms:created>
  <dcterms:modified xsi:type="dcterms:W3CDTF">2024-11-04T15:11:31Z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f9b4a2b3-e88b-48d9-87c4-dbdee55d46fc</vt:lpwstr>
  </property>
</Properties>
</file>